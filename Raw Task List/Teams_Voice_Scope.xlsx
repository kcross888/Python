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rouselindustries-my.sharepoint.com/personal/kcross_nwn_ai/Documents/Documents/Python/Raw Task List/"/>
    </mc:Choice>
  </mc:AlternateContent>
  <xr:revisionPtr revIDLastSave="1" documentId="8_{0A85F514-A112-409A-8B02-6D8A6DFC5753}" xr6:coauthVersionLast="47" xr6:coauthVersionMax="47" xr10:uidLastSave="{0ECF429F-6418-4803-9B71-8CF4C72FFF0E}"/>
  <bookViews>
    <workbookView xWindow="4200" yWindow="1890" windowWidth="24045" windowHeight="12585" xr2:uid="{00000000-000D-0000-FFFF-FFFF00000000}"/>
  </bookViews>
  <sheets>
    <sheet name="ProjectScop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2" l="1"/>
  <c r="A46" i="2"/>
  <c r="A47" i="2"/>
  <c r="A48" i="2"/>
  <c r="A49" i="2"/>
  <c r="A50" i="2"/>
  <c r="A51" i="2"/>
  <c r="A52" i="2"/>
  <c r="A37" i="2"/>
  <c r="A38" i="2"/>
  <c r="A39" i="2"/>
  <c r="A40" i="2"/>
  <c r="A41" i="2"/>
  <c r="A42" i="2"/>
  <c r="A43" i="2"/>
  <c r="A44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1" i="2"/>
</calcChain>
</file>

<file path=xl/sharedStrings.xml><?xml version="1.0" encoding="utf-8"?>
<sst xmlns="http://schemas.openxmlformats.org/spreadsheetml/2006/main" count="267" uniqueCount="83">
  <si>
    <t>Discovery</t>
  </si>
  <si>
    <t>Configuration</t>
  </si>
  <si>
    <t>Testing and Validation (Operational Readiness)</t>
  </si>
  <si>
    <t>Implementation</t>
  </si>
  <si>
    <t>Voice Eng</t>
  </si>
  <si>
    <t>PM</t>
  </si>
  <si>
    <t>Phase</t>
  </si>
  <si>
    <t>Item</t>
  </si>
  <si>
    <t>Task</t>
  </si>
  <si>
    <t>Owner</t>
  </si>
  <si>
    <t>Status</t>
  </si>
  <si>
    <t>Notes</t>
  </si>
  <si>
    <t>Initiation</t>
  </si>
  <si>
    <t>Engineer Review of SOW</t>
  </si>
  <si>
    <t>Project Onboarding</t>
  </si>
  <si>
    <t>Internal Kickoff Call</t>
  </si>
  <si>
    <t>Client Kickoff Call</t>
  </si>
  <si>
    <t>NWN Access</t>
  </si>
  <si>
    <t>Licensing</t>
  </si>
  <si>
    <t>Customer</t>
  </si>
  <si>
    <t>Staging and Configuration</t>
  </si>
  <si>
    <t>User Licenses Procured</t>
  </si>
  <si>
    <t>Shared Device Licenses Procured</t>
  </si>
  <si>
    <t>Resource Account Licenses Procured</t>
  </si>
  <si>
    <t>Teams Premium Licenses Procured</t>
  </si>
  <si>
    <t>Initial Discovery Meeting with Customer</t>
  </si>
  <si>
    <t>Discovery, Planning, Design</t>
  </si>
  <si>
    <t>Planning</t>
  </si>
  <si>
    <t>Faxing</t>
  </si>
  <si>
    <t>Phone Number Migration - High Level</t>
  </si>
  <si>
    <t>Dialing Pattern Requirements</t>
  </si>
  <si>
    <t>Routing Requirements (Intl, Domestic, etc)</t>
  </si>
  <si>
    <t>Paging - OHP</t>
  </si>
  <si>
    <t>Category</t>
  </si>
  <si>
    <t>Paging</t>
  </si>
  <si>
    <t>Voice Config</t>
  </si>
  <si>
    <t>Standard</t>
  </si>
  <si>
    <t>Paging - Phone Paging</t>
  </si>
  <si>
    <t>Data Collection</t>
  </si>
  <si>
    <t>E911 Template</t>
  </si>
  <si>
    <t>AA/CQ Template</t>
  </si>
  <si>
    <t>Design</t>
  </si>
  <si>
    <t>AA/CQ Finalization</t>
  </si>
  <si>
    <t>E911 Finalization</t>
  </si>
  <si>
    <t>Faxing (ATA vs Cloud vs other)</t>
  </si>
  <si>
    <t>Analog</t>
  </si>
  <si>
    <t>Call buttons, POTS lines, PLARs</t>
  </si>
  <si>
    <t>User Template (DIDs and UPNs, Shared Lines, etc)</t>
  </si>
  <si>
    <t>Migration Waves &amp; Port Events</t>
  </si>
  <si>
    <t>Licensing Procurement</t>
  </si>
  <si>
    <t>Handset Procurement</t>
  </si>
  <si>
    <t>ATA Procurement</t>
  </si>
  <si>
    <t>SBC Procurement</t>
  </si>
  <si>
    <t>Direct Routing</t>
  </si>
  <si>
    <t>Paging Adapter Procurement</t>
  </si>
  <si>
    <t>Shared Lines Finalization</t>
  </si>
  <si>
    <t>User and Shared Device Finalization</t>
  </si>
  <si>
    <t>Staging</t>
  </si>
  <si>
    <t>Shared Device Accounts Created</t>
  </si>
  <si>
    <t>Resource Accounts Created</t>
  </si>
  <si>
    <t>M365 Groups Created (CQ's, VM, etc)</t>
  </si>
  <si>
    <t>ATA Connected</t>
  </si>
  <si>
    <t>ATA Zero Touch Config Template</t>
  </si>
  <si>
    <t>Operator Connect</t>
  </si>
  <si>
    <t>Customer Onboarding</t>
  </si>
  <si>
    <t>Enable NWN as Operator Connect provider</t>
  </si>
  <si>
    <t>DRaaS</t>
  </si>
  <si>
    <t>NWN Integration through App Auth</t>
  </si>
  <si>
    <t>iPilot Test Numbers provisioned</t>
  </si>
  <si>
    <t>SBC Connected</t>
  </si>
  <si>
    <t>Pilot group identified</t>
  </si>
  <si>
    <t>Pilot group configured with Teams Voice</t>
  </si>
  <si>
    <t>E911 Configured</t>
  </si>
  <si>
    <t>Auto attendants configured</t>
  </si>
  <si>
    <t>Call queues configured</t>
  </si>
  <si>
    <t>Dial Plans configured (if required)</t>
  </si>
  <si>
    <t>Test Plan Executed</t>
  </si>
  <si>
    <t>Test Failures Remediated or identified and communicated</t>
  </si>
  <si>
    <t>Testing</t>
  </si>
  <si>
    <t>User Readiness</t>
  </si>
  <si>
    <t>User Communication and Training has been delivered or scheduled</t>
  </si>
  <si>
    <t>Lead Engineer</t>
  </si>
  <si>
    <t>SOW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</si>
</sst>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3" totalsRowShown="0">
  <autoFilter ref="A1:E53" xr:uid="{00000000-0009-0000-0100-000001000000}"/>
  <tableColumns count="5">
    <tableColumn id="1" xr3:uid="{00000000-0010-0000-0000-000001000000}" name="Phase"/>
    <tableColumn id="2" xr3:uid="{00000000-0010-0000-0000-000002000000}" name="Item"/>
    <tableColumn id="5" xr3:uid="{91A8B950-E186-4A18-8502-8BD60E80BD8A}" name="Category"/>
    <tableColumn id="3" xr3:uid="{00000000-0010-0000-0000-000003000000}" name="Task"/>
    <tableColumn id="4" xr3:uid="{00000000-0010-0000-0000-000004000000}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2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43.7109375" customWidth="1"/>
    <col min="2" max="3" width="27.28515625" customWidth="1"/>
    <col min="4" max="4" width="61.5703125" customWidth="1"/>
    <col min="5" max="5" width="14.5703125" customWidth="1"/>
    <col min="6" max="6" width="11.28515625" customWidth="1"/>
    <col min="7" max="7" width="10.85546875" customWidth="1"/>
  </cols>
  <sheetData>
    <row r="1" spans="1:7" x14ac:dyDescent="0.25">
      <c r="A1" s="1" t="s">
        <v>6</v>
      </c>
      <c r="B1" s="1" t="s">
        <v>7</v>
      </c>
      <c r="C1" s="1" t="s">
        <v>33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s="2" t="s">
        <v>12</v>
      </c>
      <c r="B2" s="3" t="s">
        <v>14</v>
      </c>
      <c r="C2" s="3" t="s">
        <v>36</v>
      </c>
      <c r="D2" s="3" t="s">
        <v>13</v>
      </c>
      <c r="E2" s="4" t="s">
        <v>81</v>
      </c>
    </row>
    <row r="3" spans="1:7" x14ac:dyDescent="0.25">
      <c r="A3" s="2" t="s">
        <v>12</v>
      </c>
      <c r="B3" t="s">
        <v>14</v>
      </c>
      <c r="C3" t="s">
        <v>36</v>
      </c>
      <c r="D3" t="s">
        <v>15</v>
      </c>
      <c r="E3" t="s">
        <v>5</v>
      </c>
    </row>
    <row r="4" spans="1:7" x14ac:dyDescent="0.25">
      <c r="A4" t="s">
        <v>12</v>
      </c>
      <c r="B4" t="s">
        <v>14</v>
      </c>
      <c r="C4" t="s">
        <v>36</v>
      </c>
      <c r="D4" t="s">
        <v>16</v>
      </c>
      <c r="E4" t="s">
        <v>5</v>
      </c>
    </row>
    <row r="5" spans="1:7" x14ac:dyDescent="0.25">
      <c r="A5" s="2" t="s">
        <v>12</v>
      </c>
      <c r="B5" t="s">
        <v>64</v>
      </c>
      <c r="C5" t="s">
        <v>63</v>
      </c>
      <c r="D5" t="s">
        <v>65</v>
      </c>
      <c r="E5" t="s">
        <v>19</v>
      </c>
    </row>
    <row r="6" spans="1:7" x14ac:dyDescent="0.25">
      <c r="A6" s="2" t="s">
        <v>12</v>
      </c>
      <c r="B6" t="s">
        <v>64</v>
      </c>
      <c r="C6" t="s">
        <v>66</v>
      </c>
      <c r="D6" t="s">
        <v>67</v>
      </c>
      <c r="E6" t="s">
        <v>19</v>
      </c>
    </row>
    <row r="7" spans="1:7" x14ac:dyDescent="0.25">
      <c r="A7" s="5" t="s">
        <v>26</v>
      </c>
      <c r="B7" t="s">
        <v>0</v>
      </c>
      <c r="C7" t="s">
        <v>36</v>
      </c>
      <c r="D7" t="s">
        <v>25</v>
      </c>
      <c r="E7" t="s">
        <v>5</v>
      </c>
    </row>
    <row r="8" spans="1:7" x14ac:dyDescent="0.25">
      <c r="A8" s="5" t="s">
        <v>26</v>
      </c>
      <c r="B8" t="s">
        <v>0</v>
      </c>
      <c r="C8" t="s">
        <v>35</v>
      </c>
      <c r="D8" t="s">
        <v>17</v>
      </c>
      <c r="E8" t="s">
        <v>19</v>
      </c>
    </row>
    <row r="9" spans="1:7" x14ac:dyDescent="0.25">
      <c r="A9" s="5" t="s">
        <v>26</v>
      </c>
      <c r="B9" t="s">
        <v>0</v>
      </c>
      <c r="C9" t="s">
        <v>35</v>
      </c>
      <c r="D9" t="s">
        <v>29</v>
      </c>
      <c r="E9" s="4" t="s">
        <v>81</v>
      </c>
    </row>
    <row r="10" spans="1:7" x14ac:dyDescent="0.25">
      <c r="A10" s="5" t="s">
        <v>26</v>
      </c>
      <c r="B10" t="s">
        <v>0</v>
      </c>
      <c r="C10" t="s">
        <v>35</v>
      </c>
      <c r="D10" t="s">
        <v>30</v>
      </c>
      <c r="E10" s="4" t="s">
        <v>81</v>
      </c>
    </row>
    <row r="11" spans="1:7" x14ac:dyDescent="0.25">
      <c r="A11" s="5" t="s">
        <v>26</v>
      </c>
      <c r="B11" t="s">
        <v>0</v>
      </c>
      <c r="C11" t="s">
        <v>35</v>
      </c>
      <c r="D11" t="s">
        <v>31</v>
      </c>
      <c r="E11" s="4" t="s">
        <v>81</v>
      </c>
    </row>
    <row r="12" spans="1:7" x14ac:dyDescent="0.25">
      <c r="A12" s="5" t="s">
        <v>26</v>
      </c>
      <c r="B12" t="s">
        <v>0</v>
      </c>
      <c r="C12" t="s">
        <v>34</v>
      </c>
      <c r="D12" t="s">
        <v>32</v>
      </c>
      <c r="E12" s="4" t="s">
        <v>81</v>
      </c>
    </row>
    <row r="13" spans="1:7" x14ac:dyDescent="0.25">
      <c r="A13" s="5" t="s">
        <v>26</v>
      </c>
      <c r="B13" t="s">
        <v>0</v>
      </c>
      <c r="C13" t="s">
        <v>34</v>
      </c>
      <c r="D13" t="s">
        <v>37</v>
      </c>
      <c r="E13" s="4" t="s">
        <v>81</v>
      </c>
    </row>
    <row r="14" spans="1:7" x14ac:dyDescent="0.25">
      <c r="A14" s="5" t="s">
        <v>26</v>
      </c>
      <c r="B14" t="s">
        <v>0</v>
      </c>
      <c r="C14" t="s">
        <v>28</v>
      </c>
      <c r="D14" t="s">
        <v>44</v>
      </c>
      <c r="E14" s="4" t="s">
        <v>81</v>
      </c>
    </row>
    <row r="15" spans="1:7" x14ac:dyDescent="0.25">
      <c r="A15" s="5" t="s">
        <v>26</v>
      </c>
      <c r="B15" t="s">
        <v>0</v>
      </c>
      <c r="C15" t="s">
        <v>45</v>
      </c>
      <c r="D15" t="s">
        <v>46</v>
      </c>
      <c r="E15" s="4" t="s">
        <v>81</v>
      </c>
    </row>
    <row r="16" spans="1:7" x14ac:dyDescent="0.25">
      <c r="A16" s="5" t="s">
        <v>26</v>
      </c>
      <c r="B16" t="s">
        <v>38</v>
      </c>
      <c r="C16" t="s">
        <v>35</v>
      </c>
      <c r="D16" t="s">
        <v>47</v>
      </c>
      <c r="E16" s="4" t="s">
        <v>81</v>
      </c>
    </row>
    <row r="17" spans="1:5" x14ac:dyDescent="0.25">
      <c r="A17" s="5" t="s">
        <v>26</v>
      </c>
      <c r="B17" t="s">
        <v>38</v>
      </c>
      <c r="C17" t="s">
        <v>35</v>
      </c>
      <c r="D17" t="s">
        <v>39</v>
      </c>
      <c r="E17" s="4" t="s">
        <v>81</v>
      </c>
    </row>
    <row r="18" spans="1:5" x14ac:dyDescent="0.25">
      <c r="A18" s="5" t="s">
        <v>26</v>
      </c>
      <c r="B18" t="s">
        <v>38</v>
      </c>
      <c r="C18" t="s">
        <v>35</v>
      </c>
      <c r="D18" t="s">
        <v>40</v>
      </c>
      <c r="E18" s="4" t="s">
        <v>81</v>
      </c>
    </row>
    <row r="19" spans="1:5" x14ac:dyDescent="0.25">
      <c r="A19" s="5" t="s">
        <v>26</v>
      </c>
      <c r="B19" t="s">
        <v>38</v>
      </c>
      <c r="C19" t="s">
        <v>45</v>
      </c>
      <c r="D19" t="s">
        <v>62</v>
      </c>
      <c r="E19" s="4" t="s">
        <v>81</v>
      </c>
    </row>
    <row r="20" spans="1:5" x14ac:dyDescent="0.25">
      <c r="A20" s="5" t="s">
        <v>26</v>
      </c>
      <c r="B20" t="s">
        <v>27</v>
      </c>
      <c r="C20" t="s">
        <v>35</v>
      </c>
      <c r="D20" t="s">
        <v>48</v>
      </c>
      <c r="E20" t="s">
        <v>82</v>
      </c>
    </row>
    <row r="21" spans="1:5" x14ac:dyDescent="0.25">
      <c r="A21" s="5" t="s">
        <v>26</v>
      </c>
      <c r="B21" t="s">
        <v>27</v>
      </c>
      <c r="C21" t="s">
        <v>35</v>
      </c>
      <c r="D21" t="s">
        <v>49</v>
      </c>
      <c r="E21" t="s">
        <v>19</v>
      </c>
    </row>
    <row r="22" spans="1:5" x14ac:dyDescent="0.25">
      <c r="A22" s="5" t="s">
        <v>26</v>
      </c>
      <c r="B22" t="s">
        <v>27</v>
      </c>
      <c r="C22" t="s">
        <v>35</v>
      </c>
      <c r="D22" t="s">
        <v>50</v>
      </c>
      <c r="E22" t="s">
        <v>19</v>
      </c>
    </row>
    <row r="23" spans="1:5" x14ac:dyDescent="0.25">
      <c r="A23" s="5" t="s">
        <v>26</v>
      </c>
      <c r="B23" t="s">
        <v>27</v>
      </c>
      <c r="C23" t="s">
        <v>45</v>
      </c>
      <c r="D23" t="s">
        <v>51</v>
      </c>
      <c r="E23" t="s">
        <v>19</v>
      </c>
    </row>
    <row r="24" spans="1:5" x14ac:dyDescent="0.25">
      <c r="A24" s="5" t="s">
        <v>26</v>
      </c>
      <c r="B24" t="s">
        <v>27</v>
      </c>
      <c r="C24" t="s">
        <v>53</v>
      </c>
      <c r="D24" t="s">
        <v>52</v>
      </c>
      <c r="E24" t="s">
        <v>19</v>
      </c>
    </row>
    <row r="25" spans="1:5" x14ac:dyDescent="0.25">
      <c r="A25" s="5" t="s">
        <v>26</v>
      </c>
      <c r="B25" t="s">
        <v>27</v>
      </c>
      <c r="C25" t="s">
        <v>34</v>
      </c>
      <c r="D25" t="s">
        <v>54</v>
      </c>
      <c r="E25" t="s">
        <v>19</v>
      </c>
    </row>
    <row r="26" spans="1:5" x14ac:dyDescent="0.25">
      <c r="A26" s="5" t="s">
        <v>26</v>
      </c>
      <c r="B26" t="s">
        <v>41</v>
      </c>
      <c r="C26" t="s">
        <v>34</v>
      </c>
      <c r="D26" t="s">
        <v>32</v>
      </c>
      <c r="E26" s="4" t="s">
        <v>81</v>
      </c>
    </row>
    <row r="27" spans="1:5" x14ac:dyDescent="0.25">
      <c r="A27" s="5" t="s">
        <v>26</v>
      </c>
      <c r="B27" t="s">
        <v>41</v>
      </c>
      <c r="C27" t="s">
        <v>34</v>
      </c>
      <c r="D27" t="s">
        <v>37</v>
      </c>
      <c r="E27" s="4" t="s">
        <v>81</v>
      </c>
    </row>
    <row r="28" spans="1:5" x14ac:dyDescent="0.25">
      <c r="A28" s="5" t="s">
        <v>26</v>
      </c>
      <c r="B28" t="s">
        <v>41</v>
      </c>
      <c r="C28" t="s">
        <v>28</v>
      </c>
      <c r="D28" t="s">
        <v>44</v>
      </c>
      <c r="E28" s="4" t="s">
        <v>81</v>
      </c>
    </row>
    <row r="29" spans="1:5" x14ac:dyDescent="0.25">
      <c r="A29" s="5" t="s">
        <v>26</v>
      </c>
      <c r="B29" t="s">
        <v>41</v>
      </c>
      <c r="C29" t="s">
        <v>45</v>
      </c>
      <c r="D29" t="s">
        <v>46</v>
      </c>
      <c r="E29" s="4" t="s">
        <v>81</v>
      </c>
    </row>
    <row r="30" spans="1:5" x14ac:dyDescent="0.25">
      <c r="A30" s="5" t="s">
        <v>26</v>
      </c>
      <c r="B30" t="s">
        <v>41</v>
      </c>
      <c r="C30" t="s">
        <v>35</v>
      </c>
      <c r="D30" t="s">
        <v>43</v>
      </c>
      <c r="E30" s="4" t="s">
        <v>81</v>
      </c>
    </row>
    <row r="31" spans="1:5" x14ac:dyDescent="0.25">
      <c r="A31" s="5" t="s">
        <v>26</v>
      </c>
      <c r="B31" t="s">
        <v>41</v>
      </c>
      <c r="C31" t="s">
        <v>35</v>
      </c>
      <c r="D31" t="s">
        <v>42</v>
      </c>
      <c r="E31" s="4" t="s">
        <v>81</v>
      </c>
    </row>
    <row r="32" spans="1:5" x14ac:dyDescent="0.25">
      <c r="A32" s="5" t="s">
        <v>26</v>
      </c>
      <c r="B32" t="s">
        <v>41</v>
      </c>
      <c r="C32" t="s">
        <v>35</v>
      </c>
      <c r="D32" t="s">
        <v>55</v>
      </c>
      <c r="E32" s="4" t="s">
        <v>81</v>
      </c>
    </row>
    <row r="33" spans="1:5" x14ac:dyDescent="0.25">
      <c r="A33" s="5" t="s">
        <v>26</v>
      </c>
      <c r="B33" t="s">
        <v>41</v>
      </c>
      <c r="C33" t="s">
        <v>35</v>
      </c>
      <c r="D33" t="s">
        <v>56</v>
      </c>
      <c r="E33" s="4" t="s">
        <v>81</v>
      </c>
    </row>
    <row r="34" spans="1:5" x14ac:dyDescent="0.25">
      <c r="A34" t="s">
        <v>20</v>
      </c>
      <c r="B34" t="s">
        <v>57</v>
      </c>
      <c r="C34" t="s">
        <v>18</v>
      </c>
      <c r="D34" t="s">
        <v>21</v>
      </c>
      <c r="E34" t="s">
        <v>19</v>
      </c>
    </row>
    <row r="35" spans="1:5" x14ac:dyDescent="0.25">
      <c r="A35" t="s">
        <v>20</v>
      </c>
      <c r="B35" t="s">
        <v>57</v>
      </c>
      <c r="C35" t="s">
        <v>18</v>
      </c>
      <c r="D35" t="s">
        <v>22</v>
      </c>
      <c r="E35" t="s">
        <v>19</v>
      </c>
    </row>
    <row r="36" spans="1:5" x14ac:dyDescent="0.25">
      <c r="A36" t="s">
        <v>20</v>
      </c>
      <c r="B36" t="s">
        <v>57</v>
      </c>
      <c r="C36" t="s">
        <v>18</v>
      </c>
      <c r="D36" t="s">
        <v>23</v>
      </c>
      <c r="E36" t="s">
        <v>19</v>
      </c>
    </row>
    <row r="37" spans="1:5" x14ac:dyDescent="0.25">
      <c r="A37" t="s">
        <v>20</v>
      </c>
      <c r="B37" t="s">
        <v>57</v>
      </c>
      <c r="C37" t="s">
        <v>18</v>
      </c>
      <c r="D37" t="s">
        <v>24</v>
      </c>
      <c r="E37" t="s">
        <v>19</v>
      </c>
    </row>
    <row r="38" spans="1:5" x14ac:dyDescent="0.25">
      <c r="A38" t="s">
        <v>20</v>
      </c>
      <c r="B38" t="s">
        <v>1</v>
      </c>
      <c r="C38" t="s">
        <v>35</v>
      </c>
      <c r="D38" t="s">
        <v>58</v>
      </c>
      <c r="E38" s="4" t="s">
        <v>81</v>
      </c>
    </row>
    <row r="39" spans="1:5" x14ac:dyDescent="0.25">
      <c r="A39" t="s">
        <v>20</v>
      </c>
      <c r="B39" t="s">
        <v>1</v>
      </c>
      <c r="C39" t="s">
        <v>35</v>
      </c>
      <c r="D39" t="s">
        <v>59</v>
      </c>
      <c r="E39" s="4" t="s">
        <v>81</v>
      </c>
    </row>
    <row r="40" spans="1:5" x14ac:dyDescent="0.25">
      <c r="A40" t="s">
        <v>20</v>
      </c>
      <c r="B40" t="s">
        <v>1</v>
      </c>
      <c r="C40" t="s">
        <v>35</v>
      </c>
      <c r="D40" t="s">
        <v>60</v>
      </c>
      <c r="E40" s="4" t="s">
        <v>81</v>
      </c>
    </row>
    <row r="41" spans="1:5" x14ac:dyDescent="0.25">
      <c r="A41" t="s">
        <v>20</v>
      </c>
      <c r="B41" t="s">
        <v>57</v>
      </c>
      <c r="C41" t="s">
        <v>45</v>
      </c>
      <c r="D41" t="s">
        <v>61</v>
      </c>
      <c r="E41" t="s">
        <v>19</v>
      </c>
    </row>
    <row r="42" spans="1:5" x14ac:dyDescent="0.25">
      <c r="A42" t="s">
        <v>20</v>
      </c>
      <c r="B42" t="s">
        <v>57</v>
      </c>
      <c r="C42" t="s">
        <v>63</v>
      </c>
      <c r="D42" t="s">
        <v>68</v>
      </c>
      <c r="E42" s="4" t="s">
        <v>81</v>
      </c>
    </row>
    <row r="43" spans="1:5" x14ac:dyDescent="0.25">
      <c r="A43" t="s">
        <v>20</v>
      </c>
      <c r="B43" t="s">
        <v>57</v>
      </c>
      <c r="C43" t="s">
        <v>66</v>
      </c>
      <c r="D43" t="s">
        <v>68</v>
      </c>
      <c r="E43" s="4" t="s">
        <v>81</v>
      </c>
    </row>
    <row r="44" spans="1:5" x14ac:dyDescent="0.25">
      <c r="A44" t="s">
        <v>20</v>
      </c>
      <c r="B44" t="s">
        <v>57</v>
      </c>
      <c r="C44" t="s">
        <v>35</v>
      </c>
      <c r="D44" t="s">
        <v>70</v>
      </c>
      <c r="E44" t="s">
        <v>19</v>
      </c>
    </row>
    <row r="45" spans="1:5" x14ac:dyDescent="0.25">
      <c r="A45" t="s">
        <v>20</v>
      </c>
      <c r="B45" t="s">
        <v>57</v>
      </c>
      <c r="C45" t="s">
        <v>53</v>
      </c>
      <c r="D45" t="s">
        <v>69</v>
      </c>
      <c r="E45" t="s">
        <v>19</v>
      </c>
    </row>
    <row r="46" spans="1:5" x14ac:dyDescent="0.25">
      <c r="A46" t="s">
        <v>20</v>
      </c>
      <c r="B46" t="s">
        <v>1</v>
      </c>
      <c r="C46" t="s">
        <v>35</v>
      </c>
      <c r="D46" t="s">
        <v>71</v>
      </c>
      <c r="E46" s="4" t="s">
        <v>81</v>
      </c>
    </row>
    <row r="47" spans="1:5" x14ac:dyDescent="0.25">
      <c r="A47" t="s">
        <v>20</v>
      </c>
      <c r="B47" t="s">
        <v>1</v>
      </c>
      <c r="C47" t="s">
        <v>35</v>
      </c>
      <c r="D47" t="s">
        <v>72</v>
      </c>
      <c r="E47" s="4" t="s">
        <v>81</v>
      </c>
    </row>
    <row r="48" spans="1:5" x14ac:dyDescent="0.25">
      <c r="A48" t="s">
        <v>20</v>
      </c>
      <c r="B48" t="s">
        <v>1</v>
      </c>
      <c r="C48" t="s">
        <v>35</v>
      </c>
      <c r="D48" t="s">
        <v>73</v>
      </c>
      <c r="E48" s="4" t="s">
        <v>81</v>
      </c>
    </row>
    <row r="49" spans="1:5" x14ac:dyDescent="0.25">
      <c r="A49" t="s">
        <v>20</v>
      </c>
      <c r="B49" t="s">
        <v>1</v>
      </c>
      <c r="C49" t="s">
        <v>35</v>
      </c>
      <c r="D49" t="s">
        <v>74</v>
      </c>
      <c r="E49" s="4" t="s">
        <v>81</v>
      </c>
    </row>
    <row r="50" spans="1:5" x14ac:dyDescent="0.25">
      <c r="A50" t="s">
        <v>20</v>
      </c>
      <c r="B50" t="s">
        <v>1</v>
      </c>
      <c r="C50" t="s">
        <v>35</v>
      </c>
      <c r="D50" t="s">
        <v>75</v>
      </c>
      <c r="E50" s="4" t="s">
        <v>81</v>
      </c>
    </row>
    <row r="51" spans="1:5" x14ac:dyDescent="0.25">
      <c r="A51" t="s">
        <v>2</v>
      </c>
      <c r="B51" t="s">
        <v>78</v>
      </c>
      <c r="C51" t="s">
        <v>36</v>
      </c>
      <c r="D51" t="s">
        <v>76</v>
      </c>
      <c r="E51" t="s">
        <v>4</v>
      </c>
    </row>
    <row r="52" spans="1:5" x14ac:dyDescent="0.25">
      <c r="A52" t="s">
        <v>2</v>
      </c>
      <c r="B52" t="s">
        <v>78</v>
      </c>
      <c r="C52" t="s">
        <v>36</v>
      </c>
      <c r="D52" t="s">
        <v>77</v>
      </c>
      <c r="E52" t="s">
        <v>4</v>
      </c>
    </row>
    <row r="53" spans="1:5" x14ac:dyDescent="0.25">
      <c r="A53" t="s">
        <v>3</v>
      </c>
      <c r="B53" t="s">
        <v>79</v>
      </c>
      <c r="C53" t="s">
        <v>36</v>
      </c>
      <c r="D53" t="s">
        <v>80</v>
      </c>
      <c r="E53" t="s">
        <v>19</v>
      </c>
    </row>
    <row r="57" spans="1:5" x14ac:dyDescent="0.25">
      <c r="A57" s="5"/>
    </row>
    <row r="58" spans="1:5" x14ac:dyDescent="0.25">
      <c r="A58" s="5"/>
    </row>
    <row r="59" spans="1:5" x14ac:dyDescent="0.25">
      <c r="A59" s="5"/>
    </row>
    <row r="60" spans="1:5" x14ac:dyDescent="0.25">
      <c r="A60" s="5"/>
    </row>
    <row r="61" spans="1:5" x14ac:dyDescent="0.25">
      <c r="A61" s="5"/>
    </row>
    <row r="62" spans="1:5" x14ac:dyDescent="0.25">
      <c r="A62" s="5"/>
    </row>
  </sheetData>
  <dataValidations count="1">
    <dataValidation type="list" allowBlank="1" showInputMessage="1" showErrorMessage="1" sqref="F2:F53" xr:uid="{00000000-0002-0000-0000-000000000000}">
      <formula1>"To Do,In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FED-9BC6-46C4-A646-FD59AEA87004}">
  <sheetPr codeName="Sheet2"/>
  <dimension ref="A1:A52"/>
  <sheetViews>
    <sheetView workbookViewId="0">
      <selection activeCell="A56" sqref="A56"/>
    </sheetView>
  </sheetViews>
  <sheetFormatPr defaultRowHeight="15" x14ac:dyDescent="0.25"/>
  <cols>
    <col min="1" max="1" width="109" customWidth="1"/>
  </cols>
  <sheetData>
    <row r="1" spans="1:1" x14ac:dyDescent="0.25">
      <c r="A1" t="str">
        <f>_xlfn.TEXTJOIN(,FALSE,"[",CHAR(34),ProjectScope!A2,CHAR(34)&amp;CHAR(44)&amp;CHAR(32)&amp;CHAR(34),ProjectScope!B2,CHAR(34)&amp;CHAR(44)&amp;CHAR(32)&amp;CHAR(34),ProjectScope!C2,CHAR(34)&amp;CHAR(44)&amp;CHAR(32)&amp;CHAR(34),ProjectScope!D2,CHAR(34)&amp;CHAR(44)&amp;CHAR(32)&amp;CHAR(34),ProjectScope!E2,CHAR(34),"]",CHAR(44))</f>
        <v>["Initiation", "Project Onboarding", "Standard", "Engineer Review of SOW", "Lead Engineer"],</v>
      </c>
    </row>
    <row r="2" spans="1:1" x14ac:dyDescent="0.25">
      <c r="A2" t="str">
        <f>_xlfn.TEXTJOIN(,FALSE,"[",CHAR(34),ProjectScope!A3,CHAR(34)&amp;CHAR(44)&amp;CHAR(32)&amp;CHAR(34),ProjectScope!B3,CHAR(34)&amp;CHAR(44)&amp;CHAR(32)&amp;CHAR(34),ProjectScope!C3,CHAR(34)&amp;CHAR(44)&amp;CHAR(32)&amp;CHAR(34),ProjectScope!D3,CHAR(34)&amp;CHAR(44)&amp;CHAR(32)&amp;CHAR(34),ProjectScope!E3,CHAR(34),"]",CHAR(44))</f>
        <v>["Initiation", "Project Onboarding", "Standard", "Internal Kickoff Call", "PM"],</v>
      </c>
    </row>
    <row r="3" spans="1:1" x14ac:dyDescent="0.25">
      <c r="A3" t="str">
        <f>_xlfn.TEXTJOIN(,FALSE,"[",CHAR(34),ProjectScope!A4,CHAR(34)&amp;CHAR(44)&amp;CHAR(32)&amp;CHAR(34),ProjectScope!B4,CHAR(34)&amp;CHAR(44)&amp;CHAR(32)&amp;CHAR(34),ProjectScope!C4,CHAR(34)&amp;CHAR(44)&amp;CHAR(32)&amp;CHAR(34),ProjectScope!D4,CHAR(34)&amp;CHAR(44)&amp;CHAR(32)&amp;CHAR(34),ProjectScope!E4,CHAR(34),"]",CHAR(44))</f>
        <v>["Initiation", "Project Onboarding", "Standard", "Client Kickoff Call", "PM"],</v>
      </c>
    </row>
    <row r="4" spans="1:1" x14ac:dyDescent="0.25">
      <c r="A4" t="str">
        <f>_xlfn.TEXTJOIN(,FALSE,"[",CHAR(34),ProjectScope!A5,CHAR(34)&amp;CHAR(44)&amp;CHAR(32)&amp;CHAR(34),ProjectScope!B5,CHAR(34)&amp;CHAR(44)&amp;CHAR(32)&amp;CHAR(34),ProjectScope!C5,CHAR(34)&amp;CHAR(44)&amp;CHAR(32)&amp;CHAR(34),ProjectScope!D5,CHAR(34)&amp;CHAR(44)&amp;CHAR(32)&amp;CHAR(34),ProjectScope!E5,CHAR(34),"]",CHAR(44))</f>
        <v>["Initiation", "Customer Onboarding", "Operator Connect", "Enable NWN as Operator Connect provider", "Customer"],</v>
      </c>
    </row>
    <row r="5" spans="1:1" x14ac:dyDescent="0.25">
      <c r="A5" t="str">
        <f>_xlfn.TEXTJOIN(,FALSE,"[",CHAR(34),ProjectScope!A6,CHAR(34)&amp;CHAR(44)&amp;CHAR(32)&amp;CHAR(34),ProjectScope!B6,CHAR(34)&amp;CHAR(44)&amp;CHAR(32)&amp;CHAR(34),ProjectScope!C6,CHAR(34)&amp;CHAR(44)&amp;CHAR(32)&amp;CHAR(34),ProjectScope!D6,CHAR(34)&amp;CHAR(44)&amp;CHAR(32)&amp;CHAR(34),ProjectScope!E6,CHAR(34),"]",CHAR(44))</f>
        <v>["Initiation", "Customer Onboarding", "DRaaS", "NWN Integration through App Auth", "Customer"],</v>
      </c>
    </row>
    <row r="6" spans="1:1" x14ac:dyDescent="0.25">
      <c r="A6" t="str">
        <f>_xlfn.TEXTJOIN(,FALSE,"[",CHAR(34),ProjectScope!A7,CHAR(34)&amp;CHAR(44)&amp;CHAR(32)&amp;CHAR(34),ProjectScope!B7,CHAR(34)&amp;CHAR(44)&amp;CHAR(32)&amp;CHAR(34),ProjectScope!C7,CHAR(34)&amp;CHAR(44)&amp;CHAR(32)&amp;CHAR(34),ProjectScope!D7,CHAR(34)&amp;CHAR(44)&amp;CHAR(32)&amp;CHAR(34),ProjectScope!E7,CHAR(34),"]",CHAR(44))</f>
        <v>["Discovery, Planning, Design", "Discovery", "Standard", "Initial Discovery Meeting with Customer", "PM"],</v>
      </c>
    </row>
    <row r="7" spans="1:1" x14ac:dyDescent="0.25">
      <c r="A7" t="str">
        <f>_xlfn.TEXTJOIN(,FALSE,"[",CHAR(34),ProjectScope!A8,CHAR(34)&amp;CHAR(44)&amp;CHAR(32)&amp;CHAR(34),ProjectScope!B8,CHAR(34)&amp;CHAR(44)&amp;CHAR(32)&amp;CHAR(34),ProjectScope!C8,CHAR(34)&amp;CHAR(44)&amp;CHAR(32)&amp;CHAR(34),ProjectScope!D8,CHAR(34)&amp;CHAR(44)&amp;CHAR(32)&amp;CHAR(34),ProjectScope!E8,CHAR(34),"]",CHAR(44))</f>
        <v>["Discovery, Planning, Design", "Discovery", "Voice Config", "NWN Access", "Customer"],</v>
      </c>
    </row>
    <row r="8" spans="1:1" x14ac:dyDescent="0.25">
      <c r="A8" t="str">
        <f>_xlfn.TEXTJOIN(,FALSE,"[",CHAR(34),ProjectScope!A9,CHAR(34)&amp;CHAR(44)&amp;CHAR(32)&amp;CHAR(34),ProjectScope!B9,CHAR(34)&amp;CHAR(44)&amp;CHAR(32)&amp;CHAR(34),ProjectScope!C9,CHAR(34)&amp;CHAR(44)&amp;CHAR(32)&amp;CHAR(34),ProjectScope!D9,CHAR(34)&amp;CHAR(44)&amp;CHAR(32)&amp;CHAR(34),ProjectScope!E9,CHAR(34),"]",CHAR(44))</f>
        <v>["Discovery, Planning, Design", "Discovery", "Voice Config", "Phone Number Migration - High Level", "Lead Engineer"],</v>
      </c>
    </row>
    <row r="9" spans="1:1" x14ac:dyDescent="0.25">
      <c r="A9" t="str">
        <f>_xlfn.TEXTJOIN(,FALSE,"[",CHAR(34),ProjectScope!A10,CHAR(34)&amp;CHAR(44)&amp;CHAR(32)&amp;CHAR(34),ProjectScope!B10,CHAR(34)&amp;CHAR(44)&amp;CHAR(32)&amp;CHAR(34),ProjectScope!C10,CHAR(34)&amp;CHAR(44)&amp;CHAR(32)&amp;CHAR(34),ProjectScope!D10,CHAR(34)&amp;CHAR(44)&amp;CHAR(32)&amp;CHAR(34),ProjectScope!E10,CHAR(34),"]",CHAR(44))</f>
        <v>["Discovery, Planning, Design", "Discovery", "Voice Config", "Dialing Pattern Requirements", "Lead Engineer"],</v>
      </c>
    </row>
    <row r="10" spans="1:1" x14ac:dyDescent="0.25">
      <c r="A10" t="str">
        <f>_xlfn.TEXTJOIN(,FALSE,"[",CHAR(34),ProjectScope!A11,CHAR(34)&amp;CHAR(44)&amp;CHAR(32)&amp;CHAR(34),ProjectScope!B11,CHAR(34)&amp;CHAR(44)&amp;CHAR(32)&amp;CHAR(34),ProjectScope!C11,CHAR(34)&amp;CHAR(44)&amp;CHAR(32)&amp;CHAR(34),ProjectScope!D11,CHAR(34)&amp;CHAR(44)&amp;CHAR(32)&amp;CHAR(34),ProjectScope!E11,CHAR(34),"]",CHAR(44))</f>
        <v>["Discovery, Planning, Design", "Discovery", "Voice Config", "Routing Requirements (Intl, Domestic, etc)", "Lead Engineer"],</v>
      </c>
    </row>
    <row r="11" spans="1:1" x14ac:dyDescent="0.25">
      <c r="A11" t="str">
        <f>_xlfn.TEXTJOIN(,FALSE,"[",CHAR(34),ProjectScope!A12,CHAR(34)&amp;CHAR(44)&amp;CHAR(32)&amp;CHAR(34),ProjectScope!B12,CHAR(34)&amp;CHAR(44)&amp;CHAR(32)&amp;CHAR(34),ProjectScope!C12,CHAR(34)&amp;CHAR(44)&amp;CHAR(32)&amp;CHAR(34),ProjectScope!D12,CHAR(34)&amp;CHAR(44)&amp;CHAR(32)&amp;CHAR(34),ProjectScope!E12,CHAR(34),"]",CHAR(44))</f>
        <v>["Discovery, Planning, Design", "Discovery", "Paging", "Paging - OHP", "Lead Engineer"],</v>
      </c>
    </row>
    <row r="12" spans="1:1" x14ac:dyDescent="0.25">
      <c r="A12" t="str">
        <f>_xlfn.TEXTJOIN(,FALSE,"[",CHAR(34),ProjectScope!A13,CHAR(34)&amp;CHAR(44)&amp;CHAR(32)&amp;CHAR(34),ProjectScope!B13,CHAR(34)&amp;CHAR(44)&amp;CHAR(32)&amp;CHAR(34),ProjectScope!C13,CHAR(34)&amp;CHAR(44)&amp;CHAR(32)&amp;CHAR(34),ProjectScope!D13,CHAR(34)&amp;CHAR(44)&amp;CHAR(32)&amp;CHAR(34),ProjectScope!E13,CHAR(34),"]",CHAR(44))</f>
        <v>["Discovery, Planning, Design", "Discovery", "Paging", "Paging - Phone Paging", "Lead Engineer"],</v>
      </c>
    </row>
    <row r="13" spans="1:1" x14ac:dyDescent="0.25">
      <c r="A13" t="str">
        <f>_xlfn.TEXTJOIN(,FALSE,"[",CHAR(34),ProjectScope!A14,CHAR(34)&amp;CHAR(44)&amp;CHAR(32)&amp;CHAR(34),ProjectScope!B14,CHAR(34)&amp;CHAR(44)&amp;CHAR(32)&amp;CHAR(34),ProjectScope!C14,CHAR(34)&amp;CHAR(44)&amp;CHAR(32)&amp;CHAR(34),ProjectScope!D14,CHAR(34)&amp;CHAR(44)&amp;CHAR(32)&amp;CHAR(34),ProjectScope!E14,CHAR(34),"]",CHAR(44))</f>
        <v>["Discovery, Planning, Design", "Discovery", "Faxing", "Faxing (ATA vs Cloud vs other)", "Lead Engineer"],</v>
      </c>
    </row>
    <row r="14" spans="1:1" x14ac:dyDescent="0.25">
      <c r="A14" t="str">
        <f>_xlfn.TEXTJOIN(,FALSE,"[",CHAR(34),ProjectScope!A15,CHAR(34)&amp;CHAR(44)&amp;CHAR(32)&amp;CHAR(34),ProjectScope!B15,CHAR(34)&amp;CHAR(44)&amp;CHAR(32)&amp;CHAR(34),ProjectScope!C15,CHAR(34)&amp;CHAR(44)&amp;CHAR(32)&amp;CHAR(34),ProjectScope!D15,CHAR(34)&amp;CHAR(44)&amp;CHAR(32)&amp;CHAR(34),ProjectScope!E15,CHAR(34),"]",CHAR(44))</f>
        <v>["Discovery, Planning, Design", "Discovery", "Analog", "Call buttons, POTS lines, PLARs", "Lead Engineer"],</v>
      </c>
    </row>
    <row r="15" spans="1:1" x14ac:dyDescent="0.25">
      <c r="A15" t="str">
        <f>_xlfn.TEXTJOIN(,FALSE,"[",CHAR(34),ProjectScope!A16,CHAR(34)&amp;CHAR(44)&amp;CHAR(32)&amp;CHAR(34),ProjectScope!B16,CHAR(34)&amp;CHAR(44)&amp;CHAR(32)&amp;CHAR(34),ProjectScope!C16,CHAR(34)&amp;CHAR(44)&amp;CHAR(32)&amp;CHAR(34),ProjectScope!D16,CHAR(34)&amp;CHAR(44)&amp;CHAR(32)&amp;CHAR(34),ProjectScope!E16,CHAR(34),"]",CHAR(44))</f>
        <v>["Discovery, Planning, Design", "Data Collection", "Voice Config", "User Template (DIDs and UPNs, Shared Lines, etc)", "Lead Engineer"],</v>
      </c>
    </row>
    <row r="16" spans="1:1" x14ac:dyDescent="0.25">
      <c r="A16" t="str">
        <f>_xlfn.TEXTJOIN(,FALSE,"[",CHAR(34),ProjectScope!A17,CHAR(34)&amp;CHAR(44)&amp;CHAR(32)&amp;CHAR(34),ProjectScope!B17,CHAR(34)&amp;CHAR(44)&amp;CHAR(32)&amp;CHAR(34),ProjectScope!C17,CHAR(34)&amp;CHAR(44)&amp;CHAR(32)&amp;CHAR(34),ProjectScope!D17,CHAR(34)&amp;CHAR(44)&amp;CHAR(32)&amp;CHAR(34),ProjectScope!E17,CHAR(34),"]",CHAR(44))</f>
        <v>["Discovery, Planning, Design", "Data Collection", "Voice Config", "E911 Template", "Lead Engineer"],</v>
      </c>
    </row>
    <row r="17" spans="1:1" x14ac:dyDescent="0.25">
      <c r="A17" t="str">
        <f>_xlfn.TEXTJOIN(,FALSE,"[",CHAR(34),ProjectScope!A18,CHAR(34)&amp;CHAR(44)&amp;CHAR(32)&amp;CHAR(34),ProjectScope!B18,CHAR(34)&amp;CHAR(44)&amp;CHAR(32)&amp;CHAR(34),ProjectScope!C18,CHAR(34)&amp;CHAR(44)&amp;CHAR(32)&amp;CHAR(34),ProjectScope!D18,CHAR(34)&amp;CHAR(44)&amp;CHAR(32)&amp;CHAR(34),ProjectScope!E18,CHAR(34),"]",CHAR(44))</f>
        <v>["Discovery, Planning, Design", "Data Collection", "Voice Config", "AA/CQ Template", "Lead Engineer"],</v>
      </c>
    </row>
    <row r="18" spans="1:1" x14ac:dyDescent="0.25">
      <c r="A18" t="str">
        <f>_xlfn.TEXTJOIN(,FALSE,"[",CHAR(34),ProjectScope!A19,CHAR(34)&amp;CHAR(44)&amp;CHAR(32)&amp;CHAR(34),ProjectScope!B19,CHAR(34)&amp;CHAR(44)&amp;CHAR(32)&amp;CHAR(34),ProjectScope!C19,CHAR(34)&amp;CHAR(44)&amp;CHAR(32)&amp;CHAR(34),ProjectScope!D19,CHAR(34)&amp;CHAR(44)&amp;CHAR(32)&amp;CHAR(34),ProjectScope!E19,CHAR(34),"]",CHAR(44))</f>
        <v>["Discovery, Planning, Design", "Data Collection", "Analog", "ATA Zero Touch Config Template", "Lead Engineer"],</v>
      </c>
    </row>
    <row r="19" spans="1:1" x14ac:dyDescent="0.25">
      <c r="A19" t="str">
        <f>_xlfn.TEXTJOIN(,FALSE,"[",CHAR(34),ProjectScope!A20,CHAR(34)&amp;CHAR(44)&amp;CHAR(32)&amp;CHAR(34),ProjectScope!B20,CHAR(34)&amp;CHAR(44)&amp;CHAR(32)&amp;CHAR(34),ProjectScope!C20,CHAR(34)&amp;CHAR(44)&amp;CHAR(32)&amp;CHAR(34),ProjectScope!D20,CHAR(34)&amp;CHAR(44)&amp;CHAR(32)&amp;CHAR(34),ProjectScope!E20,CHAR(34),"]",CHAR(44))</f>
        <v>["Discovery, Planning, Design", "Planning", "Voice Config", "Migration Waves &amp; Port Events", "SOW"],</v>
      </c>
    </row>
    <row r="20" spans="1:1" x14ac:dyDescent="0.25">
      <c r="A20" t="str">
        <f>_xlfn.TEXTJOIN(,FALSE,"[",CHAR(34),ProjectScope!A21,CHAR(34)&amp;CHAR(44)&amp;CHAR(32)&amp;CHAR(34),ProjectScope!B21,CHAR(34)&amp;CHAR(44)&amp;CHAR(32)&amp;CHAR(34),ProjectScope!C21,CHAR(34)&amp;CHAR(44)&amp;CHAR(32)&amp;CHAR(34),ProjectScope!D21,CHAR(34)&amp;CHAR(44)&amp;CHAR(32)&amp;CHAR(34),ProjectScope!E21,CHAR(34),"]",CHAR(44))</f>
        <v>["Discovery, Planning, Design", "Planning", "Voice Config", "Licensing Procurement", "Customer"],</v>
      </c>
    </row>
    <row r="21" spans="1:1" x14ac:dyDescent="0.25">
      <c r="A21" t="str">
        <f>_xlfn.TEXTJOIN(,FALSE,"[",CHAR(34),ProjectScope!A22,CHAR(34)&amp;CHAR(44)&amp;CHAR(32)&amp;CHAR(34),ProjectScope!B22,CHAR(34)&amp;CHAR(44)&amp;CHAR(32)&amp;CHAR(34),ProjectScope!C22,CHAR(34)&amp;CHAR(44)&amp;CHAR(32)&amp;CHAR(34),ProjectScope!D22,CHAR(34)&amp;CHAR(44)&amp;CHAR(32)&amp;CHAR(34),ProjectScope!E22,CHAR(34),"]",CHAR(44))</f>
        <v>["Discovery, Planning, Design", "Planning", "Voice Config", "Handset Procurement", "Customer"],</v>
      </c>
    </row>
    <row r="22" spans="1:1" x14ac:dyDescent="0.25">
      <c r="A22" t="str">
        <f>_xlfn.TEXTJOIN(,FALSE,"[",CHAR(34),ProjectScope!A23,CHAR(34)&amp;CHAR(44)&amp;CHAR(32)&amp;CHAR(34),ProjectScope!B23,CHAR(34)&amp;CHAR(44)&amp;CHAR(32)&amp;CHAR(34),ProjectScope!C23,CHAR(34)&amp;CHAR(44)&amp;CHAR(32)&amp;CHAR(34),ProjectScope!D23,CHAR(34)&amp;CHAR(44)&amp;CHAR(32)&amp;CHAR(34),ProjectScope!E23,CHAR(34),"]",CHAR(44))</f>
        <v>["Discovery, Planning, Design", "Planning", "Analog", "ATA Procurement", "Customer"],</v>
      </c>
    </row>
    <row r="23" spans="1:1" x14ac:dyDescent="0.25">
      <c r="A23" t="str">
        <f>_xlfn.TEXTJOIN(,FALSE,"[",CHAR(34),ProjectScope!A24,CHAR(34)&amp;CHAR(44)&amp;CHAR(32)&amp;CHAR(34),ProjectScope!B24,CHAR(34)&amp;CHAR(44)&amp;CHAR(32)&amp;CHAR(34),ProjectScope!C24,CHAR(34)&amp;CHAR(44)&amp;CHAR(32)&amp;CHAR(34),ProjectScope!D24,CHAR(34)&amp;CHAR(44)&amp;CHAR(32)&amp;CHAR(34),ProjectScope!E24,CHAR(34),"]",CHAR(44))</f>
        <v>["Discovery, Planning, Design", "Planning", "Direct Routing", "SBC Procurement", "Customer"],</v>
      </c>
    </row>
    <row r="24" spans="1:1" x14ac:dyDescent="0.25">
      <c r="A24" t="str">
        <f>_xlfn.TEXTJOIN(,FALSE,"[",CHAR(34),ProjectScope!A25,CHAR(34)&amp;CHAR(44)&amp;CHAR(32)&amp;CHAR(34),ProjectScope!B25,CHAR(34)&amp;CHAR(44)&amp;CHAR(32)&amp;CHAR(34),ProjectScope!C25,CHAR(34)&amp;CHAR(44)&amp;CHAR(32)&amp;CHAR(34),ProjectScope!D25,CHAR(34)&amp;CHAR(44)&amp;CHAR(32)&amp;CHAR(34),ProjectScope!E25,CHAR(34),"]",CHAR(44))</f>
        <v>["Discovery, Planning, Design", "Planning", "Paging", "Paging Adapter Procurement", "Customer"],</v>
      </c>
    </row>
    <row r="25" spans="1:1" x14ac:dyDescent="0.25">
      <c r="A25" t="str">
        <f>_xlfn.TEXTJOIN(,FALSE,"[",CHAR(34),ProjectScope!A26,CHAR(34)&amp;CHAR(44)&amp;CHAR(32)&amp;CHAR(34),ProjectScope!B26,CHAR(34)&amp;CHAR(44)&amp;CHAR(32)&amp;CHAR(34),ProjectScope!C26,CHAR(34)&amp;CHAR(44)&amp;CHAR(32)&amp;CHAR(34),ProjectScope!D26,CHAR(34)&amp;CHAR(44)&amp;CHAR(32)&amp;CHAR(34),ProjectScope!E26,CHAR(34),"]",CHAR(44))</f>
        <v>["Discovery, Planning, Design", "Design", "Paging", "Paging - OHP", "Lead Engineer"],</v>
      </c>
    </row>
    <row r="26" spans="1:1" x14ac:dyDescent="0.25">
      <c r="A26" t="str">
        <f>_xlfn.TEXTJOIN(,FALSE,"[",CHAR(34),ProjectScope!A27,CHAR(34)&amp;CHAR(44)&amp;CHAR(32)&amp;CHAR(34),ProjectScope!B27,CHAR(34)&amp;CHAR(44)&amp;CHAR(32)&amp;CHAR(34),ProjectScope!C27,CHAR(34)&amp;CHAR(44)&amp;CHAR(32)&amp;CHAR(34),ProjectScope!D27,CHAR(34)&amp;CHAR(44)&amp;CHAR(32)&amp;CHAR(34),ProjectScope!E27,CHAR(34),"]",CHAR(44))</f>
        <v>["Discovery, Planning, Design", "Design", "Paging", "Paging - Phone Paging", "Lead Engineer"],</v>
      </c>
    </row>
    <row r="27" spans="1:1" x14ac:dyDescent="0.25">
      <c r="A27" t="str">
        <f>_xlfn.TEXTJOIN(,FALSE,"[",CHAR(34),ProjectScope!A28,CHAR(34)&amp;CHAR(44)&amp;CHAR(32)&amp;CHAR(34),ProjectScope!B28,CHAR(34)&amp;CHAR(44)&amp;CHAR(32)&amp;CHAR(34),ProjectScope!C28,CHAR(34)&amp;CHAR(44)&amp;CHAR(32)&amp;CHAR(34),ProjectScope!D28,CHAR(34)&amp;CHAR(44)&amp;CHAR(32)&amp;CHAR(34),ProjectScope!E28,CHAR(34),"]",CHAR(44))</f>
        <v>["Discovery, Planning, Design", "Design", "Faxing", "Faxing (ATA vs Cloud vs other)", "Lead Engineer"],</v>
      </c>
    </row>
    <row r="28" spans="1:1" x14ac:dyDescent="0.25">
      <c r="A28" t="str">
        <f>_xlfn.TEXTJOIN(,FALSE,"[",CHAR(34),ProjectScope!A29,CHAR(34)&amp;CHAR(44)&amp;CHAR(32)&amp;CHAR(34),ProjectScope!B29,CHAR(34)&amp;CHAR(44)&amp;CHAR(32)&amp;CHAR(34),ProjectScope!C29,CHAR(34)&amp;CHAR(44)&amp;CHAR(32)&amp;CHAR(34),ProjectScope!D29,CHAR(34)&amp;CHAR(44)&amp;CHAR(32)&amp;CHAR(34),ProjectScope!E29,CHAR(34),"]",CHAR(44))</f>
        <v>["Discovery, Planning, Design", "Design", "Analog", "Call buttons, POTS lines, PLARs", "Lead Engineer"],</v>
      </c>
    </row>
    <row r="29" spans="1:1" x14ac:dyDescent="0.25">
      <c r="A29" t="str">
        <f>_xlfn.TEXTJOIN(,FALSE,"[",CHAR(34),ProjectScope!A30,CHAR(34)&amp;CHAR(44)&amp;CHAR(32)&amp;CHAR(34),ProjectScope!B30,CHAR(34)&amp;CHAR(44)&amp;CHAR(32)&amp;CHAR(34),ProjectScope!C30,CHAR(34)&amp;CHAR(44)&amp;CHAR(32)&amp;CHAR(34),ProjectScope!D30,CHAR(34)&amp;CHAR(44)&amp;CHAR(32)&amp;CHAR(34),ProjectScope!E30,CHAR(34),"]",CHAR(44))</f>
        <v>["Discovery, Planning, Design", "Design", "Voice Config", "E911 Finalization", "Lead Engineer"],</v>
      </c>
    </row>
    <row r="30" spans="1:1" x14ac:dyDescent="0.25">
      <c r="A30" t="str">
        <f>_xlfn.TEXTJOIN(,FALSE,"[",CHAR(34),ProjectScope!A31,CHAR(34)&amp;CHAR(44)&amp;CHAR(32)&amp;CHAR(34),ProjectScope!B31,CHAR(34)&amp;CHAR(44)&amp;CHAR(32)&amp;CHAR(34),ProjectScope!C31,CHAR(34)&amp;CHAR(44)&amp;CHAR(32)&amp;CHAR(34),ProjectScope!D31,CHAR(34)&amp;CHAR(44)&amp;CHAR(32)&amp;CHAR(34),ProjectScope!E31,CHAR(34),"]",CHAR(44))</f>
        <v>["Discovery, Planning, Design", "Design", "Voice Config", "AA/CQ Finalization", "Lead Engineer"],</v>
      </c>
    </row>
    <row r="31" spans="1:1" x14ac:dyDescent="0.25">
      <c r="A31" t="str">
        <f>_xlfn.TEXTJOIN(,FALSE,"[",CHAR(34),ProjectScope!A32,CHAR(34)&amp;CHAR(44)&amp;CHAR(32)&amp;CHAR(34),ProjectScope!B32,CHAR(34)&amp;CHAR(44)&amp;CHAR(32)&amp;CHAR(34),ProjectScope!C32,CHAR(34)&amp;CHAR(44)&amp;CHAR(32)&amp;CHAR(34),ProjectScope!D32,CHAR(34)&amp;CHAR(44)&amp;CHAR(32)&amp;CHAR(34),ProjectScope!E32,CHAR(34),"]",CHAR(44))</f>
        <v>["Discovery, Planning, Design", "Design", "Voice Config", "Shared Lines Finalization", "Lead Engineer"],</v>
      </c>
    </row>
    <row r="32" spans="1:1" x14ac:dyDescent="0.25">
      <c r="A32" t="str">
        <f>_xlfn.TEXTJOIN(,FALSE,"[",CHAR(34),ProjectScope!A33,CHAR(34)&amp;CHAR(44)&amp;CHAR(32)&amp;CHAR(34),ProjectScope!B33,CHAR(34)&amp;CHAR(44)&amp;CHAR(32)&amp;CHAR(34),ProjectScope!C33,CHAR(34)&amp;CHAR(44)&amp;CHAR(32)&amp;CHAR(34),ProjectScope!D33,CHAR(34)&amp;CHAR(44)&amp;CHAR(32)&amp;CHAR(34),ProjectScope!E33,CHAR(34),"]",CHAR(44))</f>
        <v>["Discovery, Planning, Design", "Design", "Voice Config", "User and Shared Device Finalization", "Lead Engineer"],</v>
      </c>
    </row>
    <row r="33" spans="1:1" x14ac:dyDescent="0.25">
      <c r="A33" t="str">
        <f>_xlfn.TEXTJOIN(,FALSE,"[",CHAR(34),ProjectScope!A34,CHAR(34)&amp;CHAR(44)&amp;CHAR(32)&amp;CHAR(34),ProjectScope!B34,CHAR(34)&amp;CHAR(44)&amp;CHAR(32)&amp;CHAR(34),ProjectScope!C34,CHAR(34)&amp;CHAR(44)&amp;CHAR(32)&amp;CHAR(34),ProjectScope!D34,CHAR(34)&amp;CHAR(44)&amp;CHAR(32)&amp;CHAR(34),ProjectScope!E34,CHAR(34),"]",CHAR(44))</f>
        <v>["Staging and Configuration", "Staging", "Licensing", "User Licenses Procured", "Customer"],</v>
      </c>
    </row>
    <row r="34" spans="1:1" x14ac:dyDescent="0.25">
      <c r="A34" t="str">
        <f>_xlfn.TEXTJOIN(,FALSE,"[",CHAR(34),ProjectScope!A35,CHAR(34)&amp;CHAR(44)&amp;CHAR(32)&amp;CHAR(34),ProjectScope!B35,CHAR(34)&amp;CHAR(44)&amp;CHAR(32)&amp;CHAR(34),ProjectScope!C35,CHAR(34)&amp;CHAR(44)&amp;CHAR(32)&amp;CHAR(34),ProjectScope!D35,CHAR(34)&amp;CHAR(44)&amp;CHAR(32)&amp;CHAR(34),ProjectScope!E35,CHAR(34),"]",CHAR(44))</f>
        <v>["Staging and Configuration", "Staging", "Licensing", "Shared Device Licenses Procured", "Customer"],</v>
      </c>
    </row>
    <row r="35" spans="1:1" x14ac:dyDescent="0.25">
      <c r="A35" t="str">
        <f>_xlfn.TEXTJOIN(,FALSE,"[",CHAR(34),ProjectScope!A36,CHAR(34)&amp;CHAR(44)&amp;CHAR(32)&amp;CHAR(34),ProjectScope!B36,CHAR(34)&amp;CHAR(44)&amp;CHAR(32)&amp;CHAR(34),ProjectScope!C36,CHAR(34)&amp;CHAR(44)&amp;CHAR(32)&amp;CHAR(34),ProjectScope!D36,CHAR(34)&amp;CHAR(44)&amp;CHAR(32)&amp;CHAR(34),ProjectScope!E36,CHAR(34),"]",CHAR(44))</f>
        <v>["Staging and Configuration", "Staging", "Licensing", "Resource Account Licenses Procured", "Customer"],</v>
      </c>
    </row>
    <row r="36" spans="1:1" x14ac:dyDescent="0.25">
      <c r="A36" t="str">
        <f>_xlfn.TEXTJOIN(,FALSE,"[",CHAR(34),ProjectScope!A37,CHAR(34)&amp;CHAR(44)&amp;CHAR(32)&amp;CHAR(34),ProjectScope!B37,CHAR(34)&amp;CHAR(44)&amp;CHAR(32)&amp;CHAR(34),ProjectScope!C37,CHAR(34)&amp;CHAR(44)&amp;CHAR(32)&amp;CHAR(34),ProjectScope!D37,CHAR(34)&amp;CHAR(44)&amp;CHAR(32)&amp;CHAR(34),ProjectScope!E37,CHAR(34),"]",CHAR(44))</f>
        <v>["Staging and Configuration", "Staging", "Licensing", "Teams Premium Licenses Procured", "Customer"],</v>
      </c>
    </row>
    <row r="37" spans="1:1" x14ac:dyDescent="0.25">
      <c r="A37" t="str">
        <f>_xlfn.TEXTJOIN(,FALSE,"[",CHAR(34),ProjectScope!A38,CHAR(34)&amp;CHAR(44)&amp;CHAR(32)&amp;CHAR(34),ProjectScope!B38,CHAR(34)&amp;CHAR(44)&amp;CHAR(32)&amp;CHAR(34),ProjectScope!C38,CHAR(34)&amp;CHAR(44)&amp;CHAR(32)&amp;CHAR(34),ProjectScope!D38,CHAR(34)&amp;CHAR(44)&amp;CHAR(32)&amp;CHAR(34),ProjectScope!E38,CHAR(34),"]",CHAR(44))</f>
        <v>["Staging and Configuration", "Configuration", "Voice Config", "Shared Device Accounts Created", "Lead Engineer"],</v>
      </c>
    </row>
    <row r="38" spans="1:1" x14ac:dyDescent="0.25">
      <c r="A38" t="str">
        <f>_xlfn.TEXTJOIN(,FALSE,"[",CHAR(34),ProjectScope!A39,CHAR(34)&amp;CHAR(44)&amp;CHAR(32)&amp;CHAR(34),ProjectScope!B39,CHAR(34)&amp;CHAR(44)&amp;CHAR(32)&amp;CHAR(34),ProjectScope!C39,CHAR(34)&amp;CHAR(44)&amp;CHAR(32)&amp;CHAR(34),ProjectScope!D39,CHAR(34)&amp;CHAR(44)&amp;CHAR(32)&amp;CHAR(34),ProjectScope!E39,CHAR(34),"]",CHAR(44))</f>
        <v>["Staging and Configuration", "Configuration", "Voice Config", "Resource Accounts Created", "Lead Engineer"],</v>
      </c>
    </row>
    <row r="39" spans="1:1" x14ac:dyDescent="0.25">
      <c r="A39" t="str">
        <f>_xlfn.TEXTJOIN(,FALSE,"[",CHAR(34),ProjectScope!A40,CHAR(34)&amp;CHAR(44)&amp;CHAR(32)&amp;CHAR(34),ProjectScope!B40,CHAR(34)&amp;CHAR(44)&amp;CHAR(32)&amp;CHAR(34),ProjectScope!C40,CHAR(34)&amp;CHAR(44)&amp;CHAR(32)&amp;CHAR(34),ProjectScope!D40,CHAR(34)&amp;CHAR(44)&amp;CHAR(32)&amp;CHAR(34),ProjectScope!E40,CHAR(34),"]",CHAR(44))</f>
        <v>["Staging and Configuration", "Configuration", "Voice Config", "M365 Groups Created (CQ's, VM, etc)", "Lead Engineer"],</v>
      </c>
    </row>
    <row r="40" spans="1:1" x14ac:dyDescent="0.25">
      <c r="A40" t="str">
        <f>_xlfn.TEXTJOIN(,FALSE,"[",CHAR(34),ProjectScope!A41,CHAR(34)&amp;CHAR(44)&amp;CHAR(32)&amp;CHAR(34),ProjectScope!B41,CHAR(34)&amp;CHAR(44)&amp;CHAR(32)&amp;CHAR(34),ProjectScope!C41,CHAR(34)&amp;CHAR(44)&amp;CHAR(32)&amp;CHAR(34),ProjectScope!D41,CHAR(34)&amp;CHAR(44)&amp;CHAR(32)&amp;CHAR(34),ProjectScope!E41,CHAR(34),"]",CHAR(44))</f>
        <v>["Staging and Configuration", "Staging", "Analog", "ATA Connected", "Customer"],</v>
      </c>
    </row>
    <row r="41" spans="1:1" x14ac:dyDescent="0.25">
      <c r="A41" t="str">
        <f>_xlfn.TEXTJOIN(,FALSE,"[",CHAR(34),ProjectScope!A42,CHAR(34)&amp;CHAR(44)&amp;CHAR(32)&amp;CHAR(34),ProjectScope!B42,CHAR(34)&amp;CHAR(44)&amp;CHAR(32)&amp;CHAR(34),ProjectScope!C42,CHAR(34)&amp;CHAR(44)&amp;CHAR(32)&amp;CHAR(34),ProjectScope!D42,CHAR(34)&amp;CHAR(44)&amp;CHAR(32)&amp;CHAR(34),ProjectScope!E42,CHAR(34),"]",CHAR(44))</f>
        <v>["Staging and Configuration", "Staging", "Operator Connect", "iPilot Test Numbers provisioned", "Lead Engineer"],</v>
      </c>
    </row>
    <row r="42" spans="1:1" x14ac:dyDescent="0.25">
      <c r="A42" t="str">
        <f>_xlfn.TEXTJOIN(,FALSE,"[",CHAR(34),ProjectScope!A43,CHAR(34)&amp;CHAR(44)&amp;CHAR(32)&amp;CHAR(34),ProjectScope!B43,CHAR(34)&amp;CHAR(44)&amp;CHAR(32)&amp;CHAR(34),ProjectScope!C43,CHAR(34)&amp;CHAR(44)&amp;CHAR(32)&amp;CHAR(34),ProjectScope!D43,CHAR(34)&amp;CHAR(44)&amp;CHAR(32)&amp;CHAR(34),ProjectScope!E43,CHAR(34),"]",CHAR(44))</f>
        <v>["Staging and Configuration", "Staging", "DRaaS", "iPilot Test Numbers provisioned", "Lead Engineer"],</v>
      </c>
    </row>
    <row r="43" spans="1:1" x14ac:dyDescent="0.25">
      <c r="A43" t="str">
        <f>_xlfn.TEXTJOIN(,FALSE,"[",CHAR(34),ProjectScope!A44,CHAR(34)&amp;CHAR(44)&amp;CHAR(32)&amp;CHAR(34),ProjectScope!B44,CHAR(34)&amp;CHAR(44)&amp;CHAR(32)&amp;CHAR(34),ProjectScope!C44,CHAR(34)&amp;CHAR(44)&amp;CHAR(32)&amp;CHAR(34),ProjectScope!D44,CHAR(34)&amp;CHAR(44)&amp;CHAR(32)&amp;CHAR(34),ProjectScope!E44,CHAR(34),"]",CHAR(44))</f>
        <v>["Staging and Configuration", "Staging", "Voice Config", "Pilot group identified", "Customer"],</v>
      </c>
    </row>
    <row r="44" spans="1:1" x14ac:dyDescent="0.25">
      <c r="A44" t="str">
        <f>_xlfn.TEXTJOIN(,FALSE,"[",CHAR(34),ProjectScope!A45,CHAR(34)&amp;CHAR(44)&amp;CHAR(32)&amp;CHAR(34),ProjectScope!B45,CHAR(34)&amp;CHAR(44)&amp;CHAR(32)&amp;CHAR(34),ProjectScope!C45,CHAR(34)&amp;CHAR(44)&amp;CHAR(32)&amp;CHAR(34),ProjectScope!D45,CHAR(34)&amp;CHAR(44)&amp;CHAR(32)&amp;CHAR(34),ProjectScope!E45,CHAR(34),"]",CHAR(44))</f>
        <v>["Staging and Configuration", "Staging", "Direct Routing", "SBC Connected", "Customer"],</v>
      </c>
    </row>
    <row r="45" spans="1:1" x14ac:dyDescent="0.25">
      <c r="A45" t="str">
        <f>_xlfn.TEXTJOIN(,FALSE,"[",CHAR(34),ProjectScope!A46,CHAR(34)&amp;CHAR(44)&amp;CHAR(32)&amp;CHAR(34),ProjectScope!B46,CHAR(34)&amp;CHAR(44)&amp;CHAR(32)&amp;CHAR(34),ProjectScope!C46,CHAR(34)&amp;CHAR(44)&amp;CHAR(32)&amp;CHAR(34),ProjectScope!D46,CHAR(34)&amp;CHAR(44)&amp;CHAR(32)&amp;CHAR(34),ProjectScope!E46,CHAR(34),"]",CHAR(44))</f>
        <v>["Staging and Configuration", "Configuration", "Voice Config", "Pilot group configured with Teams Voice", "Lead Engineer"],</v>
      </c>
    </row>
    <row r="46" spans="1:1" x14ac:dyDescent="0.25">
      <c r="A46" t="str">
        <f>_xlfn.TEXTJOIN(,FALSE,"[",CHAR(34),ProjectScope!A47,CHAR(34)&amp;CHAR(44)&amp;CHAR(32)&amp;CHAR(34),ProjectScope!B47,CHAR(34)&amp;CHAR(44)&amp;CHAR(32)&amp;CHAR(34),ProjectScope!C47,CHAR(34)&amp;CHAR(44)&amp;CHAR(32)&amp;CHAR(34),ProjectScope!D47,CHAR(34)&amp;CHAR(44)&amp;CHAR(32)&amp;CHAR(34),ProjectScope!E47,CHAR(34),"]",CHAR(44))</f>
        <v>["Staging and Configuration", "Configuration", "Voice Config", "E911 Configured", "Lead Engineer"],</v>
      </c>
    </row>
    <row r="47" spans="1:1" x14ac:dyDescent="0.25">
      <c r="A47" t="str">
        <f>_xlfn.TEXTJOIN(,FALSE,"[",CHAR(34),ProjectScope!A48,CHAR(34)&amp;CHAR(44)&amp;CHAR(32)&amp;CHAR(34),ProjectScope!B48,CHAR(34)&amp;CHAR(44)&amp;CHAR(32)&amp;CHAR(34),ProjectScope!C48,CHAR(34)&amp;CHAR(44)&amp;CHAR(32)&amp;CHAR(34),ProjectScope!D48,CHAR(34)&amp;CHAR(44)&amp;CHAR(32)&amp;CHAR(34),ProjectScope!E48,CHAR(34),"]",CHAR(44))</f>
        <v>["Staging and Configuration", "Configuration", "Voice Config", "Auto attendants configured", "Lead Engineer"],</v>
      </c>
    </row>
    <row r="48" spans="1:1" x14ac:dyDescent="0.25">
      <c r="A48" t="str">
        <f>_xlfn.TEXTJOIN(,FALSE,"[",CHAR(34),ProjectScope!A49,CHAR(34)&amp;CHAR(44)&amp;CHAR(32)&amp;CHAR(34),ProjectScope!B49,CHAR(34)&amp;CHAR(44)&amp;CHAR(32)&amp;CHAR(34),ProjectScope!C49,CHAR(34)&amp;CHAR(44)&amp;CHAR(32)&amp;CHAR(34),ProjectScope!D49,CHAR(34)&amp;CHAR(44)&amp;CHAR(32)&amp;CHAR(34),ProjectScope!E49,CHAR(34),"]",CHAR(44))</f>
        <v>["Staging and Configuration", "Configuration", "Voice Config", "Call queues configured", "Lead Engineer"],</v>
      </c>
    </row>
    <row r="49" spans="1:1" x14ac:dyDescent="0.25">
      <c r="A49" t="str">
        <f>_xlfn.TEXTJOIN(,FALSE,"[",CHAR(34),ProjectScope!A50,CHAR(34)&amp;CHAR(44)&amp;CHAR(32)&amp;CHAR(34),ProjectScope!B50,CHAR(34)&amp;CHAR(44)&amp;CHAR(32)&amp;CHAR(34),ProjectScope!C50,CHAR(34)&amp;CHAR(44)&amp;CHAR(32)&amp;CHAR(34),ProjectScope!D50,CHAR(34)&amp;CHAR(44)&amp;CHAR(32)&amp;CHAR(34),ProjectScope!E50,CHAR(34),"]",CHAR(44))</f>
        <v>["Staging and Configuration", "Configuration", "Voice Config", "Dial Plans configured (if required)", "Lead Engineer"],</v>
      </c>
    </row>
    <row r="50" spans="1:1" x14ac:dyDescent="0.25">
      <c r="A50" t="str">
        <f>_xlfn.TEXTJOIN(,FALSE,"[",CHAR(34),ProjectScope!A51,CHAR(34)&amp;CHAR(44)&amp;CHAR(32)&amp;CHAR(34),ProjectScope!B51,CHAR(34)&amp;CHAR(44)&amp;CHAR(32)&amp;CHAR(34),ProjectScope!C51,CHAR(34)&amp;CHAR(44)&amp;CHAR(32)&amp;CHAR(34),ProjectScope!D51,CHAR(34)&amp;CHAR(44)&amp;CHAR(32)&amp;CHAR(34),ProjectScope!E51,CHAR(34),"]",CHAR(44))</f>
        <v>["Testing and Validation (Operational Readiness)", "Testing", "Standard", "Test Plan Executed", "Voice Eng"],</v>
      </c>
    </row>
    <row r="51" spans="1:1" x14ac:dyDescent="0.25">
      <c r="A51" t="str">
        <f>_xlfn.TEXTJOIN(,FALSE,"[",CHAR(34),ProjectScope!A52,CHAR(34)&amp;CHAR(44)&amp;CHAR(32)&amp;CHAR(34),ProjectScope!B52,CHAR(34)&amp;CHAR(44)&amp;CHAR(32)&amp;CHAR(34),ProjectScope!C52,CHAR(34)&amp;CHAR(44)&amp;CHAR(32)&amp;CHAR(34),ProjectScope!D52,CHAR(34)&amp;CHAR(44)&amp;CHAR(32)&amp;CHAR(34),ProjectScope!E52,CHAR(34),"]",CHAR(44))</f>
        <v>["Testing and Validation (Operational Readiness)", "Testing", "Standard", "Test Failures Remediated or identified and communicated", "Voice Eng"],</v>
      </c>
    </row>
    <row r="52" spans="1:1" x14ac:dyDescent="0.25">
      <c r="A52" t="str">
        <f>_xlfn.TEXTJOIN(,FALSE,"[",CHAR(34),ProjectScope!A53,CHAR(34)&amp;CHAR(44)&amp;CHAR(32)&amp;CHAR(34),ProjectScope!B53,CHAR(34)&amp;CHAR(44)&amp;CHAR(32)&amp;CHAR(34),ProjectScope!C53,CHAR(34)&amp;CHAR(44)&amp;CHAR(32)&amp;CHAR(34),ProjectScope!D53,CHAR(34)&amp;CHAR(44)&amp;CHAR(32)&amp;CHAR(34),ProjectScope!E53,CHAR(34),"]",CHAR(44))</f>
        <v>["Implementation", "User Readiness", "Standard", "User Communication and Training has been delivered or scheduled", "Customer"],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ProjectScope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Cross</dc:creator>
  <cp:lastModifiedBy>Kyle Cross</cp:lastModifiedBy>
  <dcterms:created xsi:type="dcterms:W3CDTF">2026-03-12T16:52:18Z</dcterms:created>
  <dcterms:modified xsi:type="dcterms:W3CDTF">2026-03-13T14:33:51Z</dcterms:modified>
</cp:coreProperties>
</file>